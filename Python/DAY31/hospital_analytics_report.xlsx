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ummary" sheetId="1" state="visible" r:id="rId1"/>
    <sheet xmlns:r="http://schemas.openxmlformats.org/officeDocument/2006/relationships" name="Cleaned Patient Data" sheetId="2" state="visible" r:id="rId2"/>
    <sheet xmlns:r="http://schemas.openxmlformats.org/officeDocument/2006/relationships" name="Raw Data (Audi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595959"/>
        <bgColor rgb="0059595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6" fillId="4" borderId="1" applyAlignment="1" pivotButton="0" quotePrefix="0" xfId="0">
      <alignment horizontal="left"/>
    </xf>
    <xf numFmtId="3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7" fillId="0" borderId="2" pivotButton="0" quotePrefix="0" xfId="0"/>
    <xf numFmtId="3" fontId="7" fillId="0" borderId="2" pivotButton="0" quotePrefix="0" xfId="0"/>
    <xf numFmtId="164" fontId="7" fillId="0" borderId="2" pivotButton="0" quotePrefix="0" xfId="0"/>
    <xf numFmtId="165" fontId="7" fillId="0" borderId="2" pivotButton="0" quotePrefix="0" xfId="0"/>
    <xf numFmtId="0" fontId="5" fillId="3" borderId="0" pivotButton="0" quotePrefix="0" xfId="0"/>
    <xf numFmtId="0" fontId="6" fillId="0" borderId="1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Billing by Department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Summary'!C8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Summary'!$A$9:$A$12</f>
            </numRef>
          </cat>
          <val>
            <numRef>
              <f>'Department Summary'!$C$9:$C$12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Bill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  <col width="15" customWidth="1" min="5" max="5"/>
    <col width="15" customWidth="1" min="6" max="6"/>
    <col width="18" customWidth="1" min="7" max="7"/>
    <col width="16" customWidth="1" min="8" max="8"/>
  </cols>
  <sheetData>
    <row r="1">
      <c r="A1" s="1" t="inlineStr">
        <is>
          <t>HOSPITAL PATIENT &amp; BILLING ANALYTICS</t>
        </is>
      </c>
    </row>
    <row r="2">
      <c r="A2" s="2" t="inlineStr">
        <is>
          <t>Departmental Breakdown and Performance Metrics</t>
        </is>
      </c>
    </row>
    <row r="3"/>
    <row r="4">
      <c r="A4" s="3" t="inlineStr">
        <is>
          <t>Total Patients</t>
        </is>
      </c>
      <c r="B4" s="3" t="inlineStr">
        <is>
          <t>Total Revenue</t>
        </is>
      </c>
      <c r="C4" s="3" t="inlineStr">
        <is>
          <t>Avg Bill / Patient</t>
        </is>
      </c>
      <c r="D4" s="3" t="inlineStr">
        <is>
          <t>Avg Length of Stay</t>
        </is>
      </c>
    </row>
    <row r="5">
      <c r="A5" s="4" t="n">
        <v>12</v>
      </c>
      <c r="B5" s="5" t="n">
        <v>194601.5</v>
      </c>
      <c r="C5" s="5" t="n">
        <v>16216.79166666667</v>
      </c>
      <c r="D5" s="6" t="inlineStr">
        <is>
          <t>6.0 Days</t>
        </is>
      </c>
    </row>
    <row r="6"/>
    <row r="7"/>
    <row r="8">
      <c r="A8" s="7" t="inlineStr">
        <is>
          <t>Department</t>
        </is>
      </c>
      <c r="B8" s="8" t="inlineStr">
        <is>
          <t>Patient Count</t>
        </is>
      </c>
      <c r="C8" s="8" t="inlineStr">
        <is>
          <t>Total Billing ($)</t>
        </is>
      </c>
      <c r="D8" s="8" t="inlineStr">
        <is>
          <t>Average Bill ($)</t>
        </is>
      </c>
      <c r="E8" s="8" t="inlineStr">
        <is>
          <t>Min Bill ($)</t>
        </is>
      </c>
      <c r="F8" s="8" t="inlineStr">
        <is>
          <t>Max Bill ($)</t>
        </is>
      </c>
      <c r="G8" s="8" t="inlineStr">
        <is>
          <t>Avg Stay (Days)</t>
        </is>
      </c>
      <c r="H8" s="8" t="inlineStr">
        <is>
          <t>Avg Age (Yrs)</t>
        </is>
      </c>
    </row>
    <row r="9">
      <c r="A9" s="9" t="inlineStr">
        <is>
          <t>Cardiology</t>
        </is>
      </c>
      <c r="B9" s="10" t="n">
        <v>4</v>
      </c>
      <c r="C9" s="11" t="n">
        <v>85600.5</v>
      </c>
      <c r="D9" s="11" t="n">
        <v>21400.12</v>
      </c>
      <c r="E9" s="11" t="n">
        <v>15000.5</v>
      </c>
      <c r="F9" s="11" t="n">
        <v>31000</v>
      </c>
      <c r="G9" s="12" t="n">
        <v>9.199999999999999</v>
      </c>
      <c r="H9" s="12" t="n">
        <v>55.8</v>
      </c>
    </row>
    <row r="10">
      <c r="A10" s="13" t="inlineStr">
        <is>
          <t>Neurology</t>
        </is>
      </c>
      <c r="B10" s="14" t="n">
        <v>3</v>
      </c>
      <c r="C10" s="15" t="n">
        <v>67000</v>
      </c>
      <c r="D10" s="15" t="n">
        <v>22333.33</v>
      </c>
      <c r="E10" s="15" t="n">
        <v>18500</v>
      </c>
      <c r="F10" s="15" t="n">
        <v>26500</v>
      </c>
      <c r="G10" s="16" t="n">
        <v>6.7</v>
      </c>
      <c r="H10" s="16" t="n">
        <v>53</v>
      </c>
    </row>
    <row r="11">
      <c r="A11" s="9" t="inlineStr">
        <is>
          <t>Orthopedics</t>
        </is>
      </c>
      <c r="B11" s="10" t="n">
        <v>3</v>
      </c>
      <c r="C11" s="11" t="n">
        <v>34700.75</v>
      </c>
      <c r="D11" s="11" t="n">
        <v>11566.92</v>
      </c>
      <c r="E11" s="11" t="n">
        <v>8500.75</v>
      </c>
      <c r="F11" s="11" t="n">
        <v>14200</v>
      </c>
      <c r="G11" s="12" t="n">
        <v>4</v>
      </c>
      <c r="H11" s="12" t="n">
        <v>39.3</v>
      </c>
    </row>
    <row r="12">
      <c r="A12" s="13" t="inlineStr">
        <is>
          <t>Pediatrics</t>
        </is>
      </c>
      <c r="B12" s="14" t="n">
        <v>2</v>
      </c>
      <c r="C12" s="15" t="n">
        <v>7300.25</v>
      </c>
      <c r="D12" s="15" t="n">
        <v>3650.12</v>
      </c>
      <c r="E12" s="15" t="n">
        <v>3100.25</v>
      </c>
      <c r="F12" s="15" t="n">
        <v>4200</v>
      </c>
      <c r="G12" s="16" t="n">
        <v>1.5</v>
      </c>
      <c r="H12" s="16" t="n">
        <v>6.5</v>
      </c>
    </row>
    <row r="13">
      <c r="A13" s="17" t="inlineStr">
        <is>
          <t>Total / Overall</t>
        </is>
      </c>
      <c r="B13" s="18">
        <f>SUM(B9:B12)</f>
        <v/>
      </c>
      <c r="C13" s="19">
        <f>SUM(C9:C12)</f>
        <v/>
      </c>
      <c r="D13" s="19">
        <f>AVERAGE('Cleaned Patient Data'!E2:E13)</f>
        <v/>
      </c>
      <c r="E13" s="19">
        <f>MIN('Cleaned Patient Data'!E2:E13)</f>
        <v/>
      </c>
      <c r="F13" s="19">
        <f>MAX('Cleaned Patient Data'!E2:E13)</f>
        <v/>
      </c>
      <c r="G13" s="20">
        <f>AVERAGE('Cleaned Patient Data'!G2:G13)</f>
        <v/>
      </c>
      <c r="H13" s="20">
        <f>AVERAGE('Cleaned Patient Data'!F2:F13)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PatientID</t>
        </is>
      </c>
      <c r="B1" s="21" t="inlineStr">
        <is>
          <t>Name</t>
        </is>
      </c>
      <c r="C1" s="21" t="inlineStr">
        <is>
          <t>Department</t>
        </is>
      </c>
      <c r="D1" s="21" t="inlineStr">
        <is>
          <t>Doctor</t>
        </is>
      </c>
      <c r="E1" s="21" t="inlineStr">
        <is>
          <t>Bill</t>
        </is>
      </c>
      <c r="F1" s="21" t="inlineStr">
        <is>
          <t>Age</t>
        </is>
      </c>
      <c r="G1" s="21" t="inlineStr">
        <is>
          <t>StayDays</t>
        </is>
      </c>
    </row>
    <row r="2">
      <c r="A2" s="22" t="inlineStr">
        <is>
          <t>P001</t>
        </is>
      </c>
      <c r="B2" s="22" t="inlineStr">
        <is>
          <t>John Doe</t>
        </is>
      </c>
      <c r="C2" s="22" t="inlineStr">
        <is>
          <t>Cardiology</t>
        </is>
      </c>
      <c r="D2" s="22" t="inlineStr">
        <is>
          <t>Dr. Smith</t>
        </is>
      </c>
      <c r="E2" s="11" t="n">
        <v>15000.5</v>
      </c>
      <c r="F2" s="10" t="n">
        <v>45</v>
      </c>
      <c r="G2" s="10" t="n">
        <v>5</v>
      </c>
    </row>
    <row r="3">
      <c r="A3" s="22" t="inlineStr">
        <is>
          <t>P002</t>
        </is>
      </c>
      <c r="B3" s="22" t="inlineStr">
        <is>
          <t>Jane Smith</t>
        </is>
      </c>
      <c r="C3" s="22" t="inlineStr">
        <is>
          <t>Neurology</t>
        </is>
      </c>
      <c r="D3" s="22" t="inlineStr">
        <is>
          <t>Dr. Adams</t>
        </is>
      </c>
      <c r="E3" s="11" t="n">
        <v>22000</v>
      </c>
      <c r="F3" s="10" t="n">
        <v>52</v>
      </c>
      <c r="G3" s="10" t="n">
        <v>8</v>
      </c>
    </row>
    <row r="4">
      <c r="A4" s="22" t="inlineStr">
        <is>
          <t>P003</t>
        </is>
      </c>
      <c r="B4" s="22" t="inlineStr">
        <is>
          <t>Robert Brown</t>
        </is>
      </c>
      <c r="C4" s="22" t="inlineStr">
        <is>
          <t>Cardiology</t>
        </is>
      </c>
      <c r="D4" s="22" t="inlineStr">
        <is>
          <t>Dr. Smith</t>
        </is>
      </c>
      <c r="E4" s="11" t="n">
        <v>19800</v>
      </c>
      <c r="F4" s="10" t="n">
        <v>61</v>
      </c>
      <c r="G4" s="10" t="n">
        <v>12</v>
      </c>
    </row>
    <row r="5">
      <c r="A5" s="22" t="inlineStr">
        <is>
          <t>P004</t>
        </is>
      </c>
      <c r="B5" s="22" t="inlineStr">
        <is>
          <t>Emily Davis</t>
        </is>
      </c>
      <c r="C5" s="22" t="inlineStr">
        <is>
          <t>Orthopedics</t>
        </is>
      </c>
      <c r="D5" s="22" t="inlineStr">
        <is>
          <t>Dr. Taylor</t>
        </is>
      </c>
      <c r="E5" s="11" t="n">
        <v>8500.75</v>
      </c>
      <c r="F5" s="10" t="n">
        <v>29</v>
      </c>
      <c r="G5" s="10" t="n">
        <v>3</v>
      </c>
    </row>
    <row r="6">
      <c r="A6" s="22" t="inlineStr">
        <is>
          <t>P005</t>
        </is>
      </c>
      <c r="B6" s="22" t="inlineStr">
        <is>
          <t>Michael Wilson</t>
        </is>
      </c>
      <c r="C6" s="22" t="inlineStr">
        <is>
          <t>Neurology</t>
        </is>
      </c>
      <c r="D6" s="22" t="inlineStr">
        <is>
          <t>Dr. Adams</t>
        </is>
      </c>
      <c r="E6" s="11" t="n">
        <v>18500</v>
      </c>
      <c r="F6" s="10" t="n">
        <v>48</v>
      </c>
      <c r="G6" s="10" t="n">
        <v>7</v>
      </c>
    </row>
    <row r="7">
      <c r="A7" s="22" t="inlineStr">
        <is>
          <t>P006</t>
        </is>
      </c>
      <c r="B7" s="22" t="inlineStr">
        <is>
          <t>Sarah Miller</t>
        </is>
      </c>
      <c r="C7" s="22" t="inlineStr">
        <is>
          <t>Pediatrics</t>
        </is>
      </c>
      <c r="D7" s="22" t="inlineStr">
        <is>
          <t>Dr. Lee</t>
        </is>
      </c>
      <c r="E7" s="11" t="n">
        <v>4200</v>
      </c>
      <c r="F7" s="10" t="n">
        <v>8</v>
      </c>
      <c r="G7" s="10" t="n">
        <v>2</v>
      </c>
    </row>
    <row r="8">
      <c r="A8" s="22" t="inlineStr">
        <is>
          <t>P007</t>
        </is>
      </c>
      <c r="B8" s="22" t="inlineStr">
        <is>
          <t>David Clark</t>
        </is>
      </c>
      <c r="C8" s="22" t="inlineStr">
        <is>
          <t>Cardiology</t>
        </is>
      </c>
      <c r="D8" s="22" t="inlineStr">
        <is>
          <t>Dr. Smith</t>
        </is>
      </c>
      <c r="E8" s="11" t="n">
        <v>31000</v>
      </c>
      <c r="F8" s="10" t="n">
        <v>67</v>
      </c>
      <c r="G8" s="10" t="n">
        <v>14</v>
      </c>
    </row>
    <row r="9">
      <c r="A9" s="22" t="inlineStr">
        <is>
          <t>P008</t>
        </is>
      </c>
      <c r="B9" s="22" t="inlineStr">
        <is>
          <t>Laura White</t>
        </is>
      </c>
      <c r="C9" s="22" t="inlineStr">
        <is>
          <t>Orthopedics</t>
        </is>
      </c>
      <c r="D9" s="22" t="inlineStr">
        <is>
          <t>Dr. Taylor</t>
        </is>
      </c>
      <c r="E9" s="11" t="n">
        <v>12000</v>
      </c>
      <c r="F9" s="10" t="n">
        <v>48</v>
      </c>
      <c r="G9" s="10" t="n">
        <v>5</v>
      </c>
    </row>
    <row r="10">
      <c r="A10" s="22" t="inlineStr">
        <is>
          <t>P009</t>
        </is>
      </c>
      <c r="B10" s="22" t="inlineStr">
        <is>
          <t>James Green</t>
        </is>
      </c>
      <c r="C10" s="22" t="inlineStr">
        <is>
          <t>Pediatrics</t>
        </is>
      </c>
      <c r="D10" s="22" t="inlineStr">
        <is>
          <t>Dr. Lee</t>
        </is>
      </c>
      <c r="E10" s="11" t="n">
        <v>3100.25</v>
      </c>
      <c r="F10" s="10" t="n">
        <v>5</v>
      </c>
      <c r="G10" s="10" t="n">
        <v>1</v>
      </c>
    </row>
    <row r="11">
      <c r="A11" s="22" t="inlineStr">
        <is>
          <t>P010</t>
        </is>
      </c>
      <c r="B11" s="22" t="inlineStr">
        <is>
          <t>Patricia Hall</t>
        </is>
      </c>
      <c r="C11" s="22" t="inlineStr">
        <is>
          <t>Neurology</t>
        </is>
      </c>
      <c r="D11" s="22" t="inlineStr">
        <is>
          <t>Dr. Adams</t>
        </is>
      </c>
      <c r="E11" s="11" t="n">
        <v>26500</v>
      </c>
      <c r="F11" s="10" t="n">
        <v>59</v>
      </c>
      <c r="G11" s="10" t="n">
        <v>5</v>
      </c>
    </row>
    <row r="12">
      <c r="A12" s="22" t="inlineStr">
        <is>
          <t>P011</t>
        </is>
      </c>
      <c r="B12" s="22" t="inlineStr">
        <is>
          <t>Richard Young</t>
        </is>
      </c>
      <c r="C12" s="22" t="inlineStr">
        <is>
          <t>Cardiology</t>
        </is>
      </c>
      <c r="D12" s="22" t="inlineStr">
        <is>
          <t>Dr. Smith</t>
        </is>
      </c>
      <c r="E12" s="11" t="n">
        <v>19800</v>
      </c>
      <c r="F12" s="10" t="n">
        <v>50</v>
      </c>
      <c r="G12" s="10" t="n">
        <v>6</v>
      </c>
    </row>
    <row r="13">
      <c r="A13" s="22" t="inlineStr">
        <is>
          <t>P012</t>
        </is>
      </c>
      <c r="B13" s="22" t="inlineStr">
        <is>
          <t>Barbara King</t>
        </is>
      </c>
      <c r="C13" s="22" t="inlineStr">
        <is>
          <t>Orthopedics</t>
        </is>
      </c>
      <c r="D13" s="22" t="inlineStr">
        <is>
          <t>Dr. Taylor</t>
        </is>
      </c>
      <c r="E13" s="11" t="n">
        <v>14200</v>
      </c>
      <c r="F13" s="10" t="n">
        <v>41</v>
      </c>
      <c r="G13" s="1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23" t="inlineStr">
        <is>
          <t>PatientID</t>
        </is>
      </c>
      <c r="B1" s="23" t="inlineStr">
        <is>
          <t>Name</t>
        </is>
      </c>
      <c r="C1" s="23" t="inlineStr">
        <is>
          <t>Department</t>
        </is>
      </c>
      <c r="D1" s="23" t="inlineStr">
        <is>
          <t>Doctor</t>
        </is>
      </c>
      <c r="E1" s="23" t="inlineStr">
        <is>
          <t>Bill</t>
        </is>
      </c>
      <c r="F1" s="23" t="inlineStr">
        <is>
          <t>Age</t>
        </is>
      </c>
      <c r="G1" s="23" t="inlineStr">
        <is>
          <t>StayDays</t>
        </is>
      </c>
    </row>
    <row r="2">
      <c r="A2" s="22" t="inlineStr">
        <is>
          <t>P001</t>
        </is>
      </c>
      <c r="B2" s="22" t="inlineStr">
        <is>
          <t>John Doe</t>
        </is>
      </c>
      <c r="C2" s="22" t="inlineStr">
        <is>
          <t>Cardiology</t>
        </is>
      </c>
      <c r="D2" s="22" t="inlineStr">
        <is>
          <t>Dr. Smith</t>
        </is>
      </c>
      <c r="E2" s="22" t="n">
        <v>15000.5</v>
      </c>
      <c r="F2" s="22" t="n">
        <v>45</v>
      </c>
      <c r="G2" s="22" t="n">
        <v>5</v>
      </c>
    </row>
    <row r="3">
      <c r="A3" s="22" t="inlineStr">
        <is>
          <t>P002</t>
        </is>
      </c>
      <c r="B3" s="22" t="inlineStr">
        <is>
          <t>Jane Smith</t>
        </is>
      </c>
      <c r="C3" s="22" t="inlineStr">
        <is>
          <t>Neurology</t>
        </is>
      </c>
      <c r="D3" s="22" t="inlineStr">
        <is>
          <t>Dr. Adams</t>
        </is>
      </c>
      <c r="E3" s="22" t="n">
        <v>22000</v>
      </c>
      <c r="F3" s="22" t="n">
        <v>52</v>
      </c>
      <c r="G3" s="22" t="n">
        <v>8</v>
      </c>
    </row>
    <row r="4">
      <c r="A4" s="22" t="inlineStr">
        <is>
          <t>P003</t>
        </is>
      </c>
      <c r="B4" s="22" t="inlineStr">
        <is>
          <t>Robert Brown</t>
        </is>
      </c>
      <c r="C4" s="22" t="inlineStr">
        <is>
          <t>Cardiology</t>
        </is>
      </c>
      <c r="D4" s="22" t="inlineStr">
        <is>
          <t>Dr. Smith</t>
        </is>
      </c>
      <c r="E4" s="22" t="n">
        <v/>
      </c>
      <c r="F4" s="22" t="n">
        <v>61</v>
      </c>
      <c r="G4" s="22" t="n">
        <v>12</v>
      </c>
    </row>
    <row r="5">
      <c r="A5" s="22" t="inlineStr">
        <is>
          <t>P004</t>
        </is>
      </c>
      <c r="B5" s="22" t="inlineStr">
        <is>
          <t>Emily Davis</t>
        </is>
      </c>
      <c r="C5" s="22" t="inlineStr">
        <is>
          <t>Orthopedics</t>
        </is>
      </c>
      <c r="D5" s="22" t="inlineStr">
        <is>
          <t>Dr. Taylor</t>
        </is>
      </c>
      <c r="E5" s="22" t="n">
        <v>8500.75</v>
      </c>
      <c r="F5" s="22" t="n">
        <v>29</v>
      </c>
      <c r="G5" s="22" t="n">
        <v>3</v>
      </c>
    </row>
    <row r="6">
      <c r="A6" s="22" t="inlineStr">
        <is>
          <t>P005</t>
        </is>
      </c>
      <c r="B6" s="22" t="inlineStr">
        <is>
          <t>Michael Wilson</t>
        </is>
      </c>
      <c r="C6" s="22" t="inlineStr">
        <is>
          <t>Neurology</t>
        </is>
      </c>
      <c r="D6" s="22" t="inlineStr">
        <is>
          <t>Dr. Adams</t>
        </is>
      </c>
      <c r="E6" s="22" t="n">
        <v>18500</v>
      </c>
      <c r="F6" s="22" t="n">
        <v>48</v>
      </c>
      <c r="G6" s="22" t="n">
        <v>7</v>
      </c>
    </row>
    <row r="7">
      <c r="A7" s="22" t="inlineStr">
        <is>
          <t>P006</t>
        </is>
      </c>
      <c r="B7" s="22" t="inlineStr">
        <is>
          <t>Sarah Miller</t>
        </is>
      </c>
      <c r="C7" s="22" t="inlineStr">
        <is>
          <t>Pediatrics</t>
        </is>
      </c>
      <c r="D7" s="22" t="inlineStr">
        <is>
          <t>Dr. Lee</t>
        </is>
      </c>
      <c r="E7" s="22" t="n">
        <v>4200</v>
      </c>
      <c r="F7" s="22" t="n">
        <v>8</v>
      </c>
      <c r="G7" s="22" t="n">
        <v>2</v>
      </c>
    </row>
    <row r="8">
      <c r="A8" s="22" t="inlineStr">
        <is>
          <t>P007</t>
        </is>
      </c>
      <c r="B8" s="22" t="inlineStr">
        <is>
          <t>David Clark</t>
        </is>
      </c>
      <c r="C8" s="22" t="inlineStr">
        <is>
          <t>Cardiology</t>
        </is>
      </c>
      <c r="D8" s="22" t="inlineStr">
        <is>
          <t>Dr. Smith</t>
        </is>
      </c>
      <c r="E8" s="22" t="n">
        <v>31000</v>
      </c>
      <c r="F8" s="22" t="n">
        <v>67</v>
      </c>
      <c r="G8" s="22" t="n">
        <v>14</v>
      </c>
    </row>
    <row r="9">
      <c r="A9" s="22" t="inlineStr">
        <is>
          <t>P008</t>
        </is>
      </c>
      <c r="B9" s="22" t="inlineStr">
        <is>
          <t>Laura White</t>
        </is>
      </c>
      <c r="C9" s="22" t="inlineStr">
        <is>
          <t>Orthopedics</t>
        </is>
      </c>
      <c r="D9" s="22" t="inlineStr">
        <is>
          <t>Dr. Taylor</t>
        </is>
      </c>
      <c r="E9" s="22" t="n">
        <v>12000</v>
      </c>
      <c r="F9" s="22" t="n">
        <v/>
      </c>
      <c r="G9" s="22" t="n">
        <v>5</v>
      </c>
    </row>
    <row r="10">
      <c r="A10" s="22" t="inlineStr">
        <is>
          <t>P009</t>
        </is>
      </c>
      <c r="B10" s="22" t="inlineStr">
        <is>
          <t>James Green</t>
        </is>
      </c>
      <c r="C10" s="22" t="inlineStr">
        <is>
          <t>Pediatrics</t>
        </is>
      </c>
      <c r="D10" s="22" t="inlineStr">
        <is>
          <t>Dr. Lee</t>
        </is>
      </c>
      <c r="E10" s="22" t="n">
        <v>3100.25</v>
      </c>
      <c r="F10" s="22" t="n">
        <v>5</v>
      </c>
      <c r="G10" s="22" t="n">
        <v>1</v>
      </c>
    </row>
    <row r="11">
      <c r="A11" s="22" t="inlineStr">
        <is>
          <t>P010</t>
        </is>
      </c>
      <c r="B11" s="22" t="inlineStr">
        <is>
          <t>Patricia Hall</t>
        </is>
      </c>
      <c r="C11" s="22" t="inlineStr">
        <is>
          <t>Neurology</t>
        </is>
      </c>
      <c r="D11" s="22" t="inlineStr">
        <is>
          <t>Dr. Adams</t>
        </is>
      </c>
      <c r="E11" s="22" t="n">
        <v>26500</v>
      </c>
      <c r="F11" s="22" t="n">
        <v>59</v>
      </c>
      <c r="G11" s="22" t="n">
        <v/>
      </c>
    </row>
    <row r="12">
      <c r="A12" s="22" t="inlineStr">
        <is>
          <t>P011</t>
        </is>
      </c>
      <c r="B12" s="22" t="inlineStr">
        <is>
          <t>Richard Young</t>
        </is>
      </c>
      <c r="C12" s="22" t="inlineStr">
        <is>
          <t>Cardiology</t>
        </is>
      </c>
      <c r="D12" s="22" t="inlineStr">
        <is>
          <t>Dr. Smith</t>
        </is>
      </c>
      <c r="E12" s="22" t="n">
        <v>19800</v>
      </c>
      <c r="F12" s="22" t="n">
        <v>50</v>
      </c>
      <c r="G12" s="22" t="n">
        <v>6</v>
      </c>
    </row>
    <row r="13">
      <c r="A13" s="22" t="inlineStr">
        <is>
          <t>P012</t>
        </is>
      </c>
      <c r="B13" s="22" t="inlineStr">
        <is>
          <t>Barbara King</t>
        </is>
      </c>
      <c r="C13" s="22" t="inlineStr">
        <is>
          <t>Orthopedics</t>
        </is>
      </c>
      <c r="D13" s="22" t="inlineStr">
        <is>
          <t>Dr. Taylor</t>
        </is>
      </c>
      <c r="E13" s="22" t="n">
        <v>14200</v>
      </c>
      <c r="F13" s="22" t="n">
        <v>41</v>
      </c>
      <c r="G13" s="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2026-08-07T11:54:46Z</dcterms:created>
  <dcterms:modified xmlns:dcterms="http://purl.org/dc/terms/" xmlns:xsi="http://www.w3.org/2001/XMLSchema-instance" xsi:type="dcterms:W3CDTF">2026-08-07T11:54:46Z</dcterms:modified>
</cp:coreProperties>
</file>